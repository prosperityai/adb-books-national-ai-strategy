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Line items" sheetId="2" state="visible" r:id="rId2"/>
    <sheet xmlns:r="http://schemas.openxmlformats.org/officeDocument/2006/relationships" name="Financing shares" sheetId="3" state="visible" r:id="rId3"/>
    <sheet xmlns:r="http://schemas.openxmlformats.org/officeDocument/2006/relationships" name="By pillar" sheetId="4" state="visible" r:id="rId4"/>
    <sheet xmlns:r="http://schemas.openxmlformats.org/officeDocument/2006/relationships" name="By source" sheetId="5" state="visible" r:id="rId5"/>
    <sheet xmlns:r="http://schemas.openxmlformats.org/officeDocument/2006/relationships"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-#,##0"/>
  </numFmts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9" fontId="0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National AI strategy budget: Example Republic (fictional)</t>
        </is>
      </c>
    </row>
    <row r="2">
      <c r="A2" s="2" t="inlineStr">
        <is>
          <t>ILLUSTRATIVE: example figures for a fictional country. Replace with your own costing.</t>
        </is>
      </c>
    </row>
    <row r="3">
      <c r="A3" s="2" t="inlineStr">
        <is>
          <t>Currency: USD. Years: Y1, Y2, Y3, Y4, Y5.</t>
        </is>
      </c>
    </row>
    <row r="4">
      <c r="A4" s="2" t="inlineStr">
        <is>
          <t>Type numbers only on 'Line items' and 'Financing shares'. Every other sheet is formulas.</t>
        </is>
      </c>
    </row>
    <row r="5">
      <c r="A5" s="2" t="inlineStr">
        <is>
          <t>Compute lines come from planner/compute_planner.py (see the planner assumptions).</t>
        </is>
      </c>
    </row>
    <row r="6">
      <c r="A6" s="2" t="inlineStr">
        <is>
          <t>Book: National AI Strategy in Practice, Chapter 10. Licence: MIT.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34" customWidth="1" min="1" max="1"/>
    <col width="46" customWidth="1" min="2" max="2"/>
    <col width="3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Pillar</t>
        </is>
      </c>
      <c r="B1" s="1" t="inlineStr">
        <is>
          <t>Item</t>
        </is>
      </c>
      <c r="C1" s="1" t="inlineStr">
        <is>
          <t>Basis</t>
        </is>
      </c>
      <c r="D1" s="1" t="inlineStr">
        <is>
          <t>Y1</t>
        </is>
      </c>
      <c r="E1" s="1" t="inlineStr">
        <is>
          <t>Y2</t>
        </is>
      </c>
      <c r="F1" s="1" t="inlineStr">
        <is>
          <t>Y3</t>
        </is>
      </c>
      <c r="G1" s="1" t="inlineStr">
        <is>
          <t>Y4</t>
        </is>
      </c>
      <c r="H1" s="1" t="inlineStr">
        <is>
          <t>Y5</t>
        </is>
      </c>
      <c r="I1" s="1" t="inlineStr">
        <is>
          <t>Total</t>
        </is>
      </c>
    </row>
    <row r="2">
      <c r="A2" t="inlineStr">
        <is>
          <t>Governance and delivery unit</t>
        </is>
      </c>
      <c r="B2" t="inlineStr">
        <is>
          <t>Delivery unit (15 staff)</t>
        </is>
      </c>
      <c r="C2" t="inlineStr">
        <is>
          <t>15 x $40k loaded</t>
        </is>
      </c>
      <c r="D2" s="3" t="n">
        <v>600000</v>
      </c>
      <c r="E2" s="3" t="n">
        <v>600000</v>
      </c>
      <c r="F2" s="3" t="n">
        <v>600000</v>
      </c>
      <c r="G2" s="3" t="n">
        <v>600000</v>
      </c>
      <c r="H2" s="3" t="n">
        <v>600000</v>
      </c>
      <c r="I2" s="3">
        <f>SUM(D2:H2)</f>
        <v/>
      </c>
    </row>
    <row r="3">
      <c r="A3" t="inlineStr">
        <is>
          <t>Governance and delivery unit</t>
        </is>
      </c>
      <c r="B3" t="inlineStr">
        <is>
          <t>Steering committee and coordination</t>
        </is>
      </c>
      <c r="C3" t="inlineStr">
        <is>
          <t>Secretariat, meetings</t>
        </is>
      </c>
      <c r="D3" s="3" t="n">
        <v>100000</v>
      </c>
      <c r="E3" s="3" t="n">
        <v>100000</v>
      </c>
      <c r="F3" s="3" t="n">
        <v>100000</v>
      </c>
      <c r="G3" s="3" t="n">
        <v>100000</v>
      </c>
      <c r="H3" s="3" t="n">
        <v>100000</v>
      </c>
      <c r="I3" s="3">
        <f>SUM(D3:H3)</f>
        <v/>
      </c>
    </row>
    <row r="4">
      <c r="A4" t="inlineStr">
        <is>
          <t>Compute</t>
        </is>
      </c>
      <c r="B4" t="inlineStr">
        <is>
          <t>National inference and research cluster: capex</t>
        </is>
      </c>
      <c r="C4" t="inlineStr">
        <is>
          <t>From compute planner</t>
        </is>
      </c>
      <c r="D4" s="3" t="n">
        <v>3179880</v>
      </c>
      <c r="E4" s="3" t="n">
        <v>2119920</v>
      </c>
      <c r="F4" s="3" t="n">
        <v>0</v>
      </c>
      <c r="G4" s="3" t="n">
        <v>0</v>
      </c>
      <c r="H4" s="3" t="n">
        <v>0</v>
      </c>
      <c r="I4" s="3">
        <f>SUM(D4:H4)</f>
        <v/>
      </c>
    </row>
    <row r="5">
      <c r="A5" t="inlineStr">
        <is>
          <t>Compute</t>
        </is>
      </c>
      <c r="B5" t="inlineStr">
        <is>
          <t>National inference and research cluster: opex</t>
        </is>
      </c>
      <c r="C5" t="inlineStr">
        <is>
          <t>From compute planner</t>
        </is>
      </c>
      <c r="D5" s="3" t="n">
        <v>237645</v>
      </c>
      <c r="E5" s="3" t="n">
        <v>950580</v>
      </c>
      <c r="F5" s="3" t="n">
        <v>950580</v>
      </c>
      <c r="G5" s="3" t="n">
        <v>950580</v>
      </c>
      <c r="H5" s="3" t="n">
        <v>950580</v>
      </c>
      <c r="I5" s="3">
        <f>SUM(D5:H5)</f>
        <v/>
      </c>
    </row>
    <row r="6">
      <c r="A6" t="inlineStr">
        <is>
          <t>Compute</t>
        </is>
      </c>
      <c r="B6" t="inlineStr">
        <is>
          <t>Compute access credits</t>
        </is>
      </c>
      <c r="C6" t="inlineStr">
        <is>
          <t>Researchers and startups</t>
        </is>
      </c>
      <c r="D6" s="3" t="n">
        <v>300000</v>
      </c>
      <c r="E6" s="3" t="n">
        <v>500000</v>
      </c>
      <c r="F6" s="3" t="n">
        <v>700000</v>
      </c>
      <c r="G6" s="3" t="n">
        <v>800000</v>
      </c>
      <c r="H6" s="3" t="n">
        <v>800000</v>
      </c>
      <c r="I6" s="3">
        <f>SUM(D6:H6)</f>
        <v/>
      </c>
    </row>
    <row r="7">
      <c r="A7" t="inlineStr">
        <is>
          <t>Data</t>
        </is>
      </c>
      <c r="B7" t="inlineStr">
        <is>
          <t>Register digitisation</t>
        </is>
      </c>
      <c r="C7" t="inlineStr">
        <is>
          <t>Priority registers first</t>
        </is>
      </c>
      <c r="D7" s="3" t="n">
        <v>1500000</v>
      </c>
      <c r="E7" s="3" t="n">
        <v>2000000</v>
      </c>
      <c r="F7" s="3" t="n">
        <v>2000000</v>
      </c>
      <c r="G7" s="3" t="n">
        <v>1500000</v>
      </c>
      <c r="H7" s="3" t="n">
        <v>1000000</v>
      </c>
      <c r="I7" s="3">
        <f>SUM(D7:H7)</f>
        <v/>
      </c>
    </row>
    <row r="8">
      <c r="A8" t="inlineStr">
        <is>
          <t>Data</t>
        </is>
      </c>
      <c r="B8" t="inlineStr">
        <is>
          <t>Data exchange layer expansion</t>
        </is>
      </c>
      <c r="C8" t="inlineStr">
        <is>
          <t>Connect 20 more bodies</t>
        </is>
      </c>
      <c r="D8" s="3" t="n">
        <v>800000</v>
      </c>
      <c r="E8" s="3" t="n">
        <v>800000</v>
      </c>
      <c r="F8" s="3" t="n">
        <v>600000</v>
      </c>
      <c r="G8" s="3" t="n">
        <v>400000</v>
      </c>
      <c r="H8" s="3" t="n">
        <v>400000</v>
      </c>
      <c r="I8" s="3">
        <f>SUM(D8:H8)</f>
        <v/>
      </c>
    </row>
    <row r="9">
      <c r="A9" t="inlineStr">
        <is>
          <t>Data</t>
        </is>
      </c>
      <c r="B9" t="inlineStr">
        <is>
          <t>Language and speech corpora</t>
        </is>
      </c>
      <c r="C9" t="inlineStr">
        <is>
          <t>Community-led collection</t>
        </is>
      </c>
      <c r="D9" s="3" t="n">
        <v>400000</v>
      </c>
      <c r="E9" s="3" t="n">
        <v>600000</v>
      </c>
      <c r="F9" s="3" t="n">
        <v>600000</v>
      </c>
      <c r="G9" s="3" t="n">
        <v>400000</v>
      </c>
      <c r="H9" s="3" t="n">
        <v>300000</v>
      </c>
      <c r="I9" s="3">
        <f>SUM(D9:H9)</f>
        <v/>
      </c>
    </row>
    <row r="10">
      <c r="A10" t="inlineStr">
        <is>
          <t>Talent</t>
        </is>
      </c>
      <c r="B10" t="inlineStr">
        <is>
          <t>Civil-service AI curriculum</t>
        </is>
      </c>
      <c r="C10" t="inlineStr">
        <is>
          <t>Role-based, 3 tiers</t>
        </is>
      </c>
      <c r="D10" s="3" t="n">
        <v>500000</v>
      </c>
      <c r="E10" s="3" t="n">
        <v>800000</v>
      </c>
      <c r="F10" s="3" t="n">
        <v>900000</v>
      </c>
      <c r="G10" s="3" t="n">
        <v>900000</v>
      </c>
      <c r="H10" s="3" t="n">
        <v>800000</v>
      </c>
      <c r="I10" s="3">
        <f>SUM(D10:H10)</f>
        <v/>
      </c>
    </row>
    <row r="11">
      <c r="A11" t="inlineStr">
        <is>
          <t>Talent</t>
        </is>
      </c>
      <c r="B11" t="inlineStr">
        <is>
          <t>Scholarships and fellowships</t>
        </is>
      </c>
      <c r="C11" t="inlineStr">
        <is>
          <t>MSc/PhD with return bond</t>
        </is>
      </c>
      <c r="D11" s="3" t="n">
        <v>1000000</v>
      </c>
      <c r="E11" s="3" t="n">
        <v>1500000</v>
      </c>
      <c r="F11" s="3" t="n">
        <v>2000000</v>
      </c>
      <c r="G11" s="3" t="n">
        <v>2000000</v>
      </c>
      <c r="H11" s="3" t="n">
        <v>2000000</v>
      </c>
      <c r="I11" s="3">
        <f>SUM(D11:H11)</f>
        <v/>
      </c>
    </row>
    <row r="12">
      <c r="A12" t="inlineStr">
        <is>
          <t>Talent</t>
        </is>
      </c>
      <c r="B12" t="inlineStr">
        <is>
          <t>Research chairs and retention</t>
        </is>
      </c>
      <c r="C12" t="inlineStr">
        <is>
          <t>6 chairs from Y2</t>
        </is>
      </c>
      <c r="D12" s="3" t="n">
        <v>0</v>
      </c>
      <c r="E12" s="3" t="n">
        <v>600000</v>
      </c>
      <c r="F12" s="3" t="n">
        <v>600000</v>
      </c>
      <c r="G12" s="3" t="n">
        <v>600000</v>
      </c>
      <c r="H12" s="3" t="n">
        <v>600000</v>
      </c>
      <c r="I12" s="3">
        <f>SUM(D12:H12)</f>
        <v/>
      </c>
    </row>
    <row r="13">
      <c r="A13" t="inlineStr">
        <is>
          <t>Regulation</t>
        </is>
      </c>
      <c r="B13" t="inlineStr">
        <is>
          <t>Regulator AI unit</t>
        </is>
      </c>
      <c r="C13" t="inlineStr">
        <is>
          <t>6-10 staff</t>
        </is>
      </c>
      <c r="D13" s="3" t="n">
        <v>400000</v>
      </c>
      <c r="E13" s="3" t="n">
        <v>500000</v>
      </c>
      <c r="F13" s="3" t="n">
        <v>600000</v>
      </c>
      <c r="G13" s="3" t="n">
        <v>600000</v>
      </c>
      <c r="H13" s="3" t="n">
        <v>600000</v>
      </c>
      <c r="I13" s="3">
        <f>SUM(D13:H13)</f>
        <v/>
      </c>
    </row>
    <row r="14">
      <c r="A14" t="inlineStr">
        <is>
          <t>Regulation</t>
        </is>
      </c>
      <c r="B14" t="inlineStr">
        <is>
          <t>Regulatory sandbox</t>
        </is>
      </c>
      <c r="C14" t="inlineStr">
        <is>
          <t>Two cohorts a year from Y2</t>
        </is>
      </c>
      <c r="D14" s="3" t="n">
        <v>200000</v>
      </c>
      <c r="E14" s="3" t="n">
        <v>300000</v>
      </c>
      <c r="F14" s="3" t="n">
        <v>300000</v>
      </c>
      <c r="G14" s="3" t="n">
        <v>300000</v>
      </c>
      <c r="H14" s="3" t="n">
        <v>300000</v>
      </c>
      <c r="I14" s="3">
        <f>SUM(D14:H14)</f>
        <v/>
      </c>
    </row>
    <row r="15">
      <c r="A15" t="inlineStr">
        <is>
          <t>Adoption and procurement</t>
        </is>
      </c>
      <c r="B15" t="inlineStr">
        <is>
          <t>Use-case portfolio delivery</t>
        </is>
      </c>
      <c r="C15" t="inlineStr">
        <is>
          <t>Waves 1-3 (portfolio tool)</t>
        </is>
      </c>
      <c r="D15" s="3" t="n">
        <v>3000000</v>
      </c>
      <c r="E15" s="3" t="n">
        <v>4000000</v>
      </c>
      <c r="F15" s="3" t="n">
        <v>4500000</v>
      </c>
      <c r="G15" s="3" t="n">
        <v>3000000</v>
      </c>
      <c r="H15" s="3" t="n">
        <v>2000000</v>
      </c>
      <c r="I15" s="3">
        <f>SUM(D15:H15)</f>
        <v/>
      </c>
    </row>
    <row r="16">
      <c r="A16" t="inlineStr">
        <is>
          <t>Adoption and procurement</t>
        </is>
      </c>
      <c r="B16" t="inlineStr">
        <is>
          <t>Procurement framework and clauses</t>
        </is>
      </c>
      <c r="C16" t="inlineStr">
        <is>
          <t>Framework set-up, legal review</t>
        </is>
      </c>
      <c r="D16" s="3" t="n">
        <v>250000</v>
      </c>
      <c r="E16" s="3" t="n">
        <v>150000</v>
      </c>
      <c r="F16" s="3" t="n">
        <v>100000</v>
      </c>
      <c r="G16" s="3" t="n">
        <v>100000</v>
      </c>
      <c r="H16" s="3" t="n">
        <v>100000</v>
      </c>
      <c r="I16" s="3">
        <f>SUM(D16:H16)</f>
        <v/>
      </c>
    </row>
    <row r="17">
      <c r="A17" t="inlineStr">
        <is>
          <t>Monitoring and evaluation</t>
        </is>
      </c>
      <c r="B17" t="inlineStr">
        <is>
          <t>KPI data collection and annual report</t>
        </is>
      </c>
      <c r="C17" t="inlineStr">
        <is>
          <t>Surveys, admin data</t>
        </is>
      </c>
      <c r="D17" s="3" t="n">
        <v>150000</v>
      </c>
      <c r="E17" s="3" t="n">
        <v>150000</v>
      </c>
      <c r="F17" s="3" t="n">
        <v>150000</v>
      </c>
      <c r="G17" s="3" t="n">
        <v>150000</v>
      </c>
      <c r="H17" s="3" t="n">
        <v>150000</v>
      </c>
      <c r="I17" s="3">
        <f>SUM(D17:H17)</f>
        <v/>
      </c>
    </row>
    <row r="18">
      <c r="A18" t="inlineStr">
        <is>
          <t>Monitoring and evaluation</t>
        </is>
      </c>
      <c r="B18" t="inlineStr">
        <is>
          <t>Independent evaluations</t>
        </is>
      </c>
      <c r="C18" t="inlineStr">
        <is>
          <t>Mid-term Y3, final Y5</t>
        </is>
      </c>
      <c r="D18" s="3" t="n">
        <v>0</v>
      </c>
      <c r="E18" s="3" t="n">
        <v>0</v>
      </c>
      <c r="F18" s="3" t="n">
        <v>300000</v>
      </c>
      <c r="G18" s="3" t="n">
        <v>0</v>
      </c>
      <c r="H18" s="3" t="n">
        <v>400000</v>
      </c>
      <c r="I18" s="3">
        <f>SUM(D18:H18)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Pillar</t>
        </is>
      </c>
      <c r="B1" s="1" t="inlineStr">
        <is>
          <t>National budget</t>
        </is>
      </c>
      <c r="C1" s="1" t="inlineStr">
        <is>
          <t>DFI loans</t>
        </is>
      </c>
      <c r="D1" s="1" t="inlineStr">
        <is>
          <t>Grants</t>
        </is>
      </c>
      <c r="E1" s="1" t="inlineStr">
        <is>
          <t>PPP and private</t>
        </is>
      </c>
      <c r="F1" s="1" t="inlineStr">
        <is>
          <t>Vendor credits</t>
        </is>
      </c>
      <c r="G1" s="1" t="inlineStr">
        <is>
          <t>Check (must be 100%)</t>
        </is>
      </c>
    </row>
    <row r="2">
      <c r="A2" t="inlineStr">
        <is>
          <t>Governance and delivery unit</t>
        </is>
      </c>
      <c r="B2" s="4" t="n">
        <v>1</v>
      </c>
      <c r="C2" s="4" t="n">
        <v>0</v>
      </c>
      <c r="D2" s="4" t="n">
        <v>0</v>
      </c>
      <c r="E2" s="4" t="n">
        <v>0</v>
      </c>
      <c r="F2" s="4" t="n">
        <v>0</v>
      </c>
      <c r="G2" s="4">
        <f>SUM(B2:F2)</f>
        <v/>
      </c>
    </row>
    <row r="3">
      <c r="A3" t="inlineStr">
        <is>
          <t>Compute</t>
        </is>
      </c>
      <c r="B3" s="4" t="n">
        <v>0.3</v>
      </c>
      <c r="C3" s="4" t="n">
        <v>0.4</v>
      </c>
      <c r="D3" s="4" t="n">
        <v>0</v>
      </c>
      <c r="E3" s="4" t="n">
        <v>0.2</v>
      </c>
      <c r="F3" s="4" t="n">
        <v>0.1</v>
      </c>
      <c r="G3" s="4">
        <f>SUM(B3:F3)</f>
        <v/>
      </c>
    </row>
    <row r="4">
      <c r="A4" t="inlineStr">
        <is>
          <t>Data</t>
        </is>
      </c>
      <c r="B4" s="4" t="n">
        <v>0.4</v>
      </c>
      <c r="C4" s="4" t="n">
        <v>0.4</v>
      </c>
      <c r="D4" s="4" t="n">
        <v>0.2</v>
      </c>
      <c r="E4" s="4" t="n">
        <v>0</v>
      </c>
      <c r="F4" s="4" t="n">
        <v>0</v>
      </c>
      <c r="G4" s="4">
        <f>SUM(B4:F4)</f>
        <v/>
      </c>
    </row>
    <row r="5">
      <c r="A5" t="inlineStr">
        <is>
          <t>Talent</t>
        </is>
      </c>
      <c r="B5" s="4" t="n">
        <v>0.5</v>
      </c>
      <c r="C5" s="4" t="n">
        <v>0.1</v>
      </c>
      <c r="D5" s="4" t="n">
        <v>0.3</v>
      </c>
      <c r="E5" s="4" t="n">
        <v>0.1</v>
      </c>
      <c r="F5" s="4" t="n">
        <v>0</v>
      </c>
      <c r="G5" s="4">
        <f>SUM(B5:F5)</f>
        <v/>
      </c>
    </row>
    <row r="6">
      <c r="A6" t="inlineStr">
        <is>
          <t>Regulation</t>
        </is>
      </c>
      <c r="B6" s="4" t="n">
        <v>0.7</v>
      </c>
      <c r="C6" s="4" t="n">
        <v>0</v>
      </c>
      <c r="D6" s="4" t="n">
        <v>0.3</v>
      </c>
      <c r="E6" s="4" t="n">
        <v>0</v>
      </c>
      <c r="F6" s="4" t="n">
        <v>0</v>
      </c>
      <c r="G6" s="4">
        <f>SUM(B6:F6)</f>
        <v/>
      </c>
    </row>
    <row r="7">
      <c r="A7" t="inlineStr">
        <is>
          <t>Adoption and procurement</t>
        </is>
      </c>
      <c r="B7" s="4" t="n">
        <v>0.5</v>
      </c>
      <c r="C7" s="4" t="n">
        <v>0.3</v>
      </c>
      <c r="D7" s="4" t="n">
        <v>0.1</v>
      </c>
      <c r="E7" s="4" t="n">
        <v>0.1</v>
      </c>
      <c r="F7" s="4" t="n">
        <v>0</v>
      </c>
      <c r="G7" s="4">
        <f>SUM(B7:F7)</f>
        <v/>
      </c>
    </row>
    <row r="8">
      <c r="A8" t="inlineStr">
        <is>
          <t>Monitoring and evaluation</t>
        </is>
      </c>
      <c r="B8" s="4" t="n">
        <v>0.6</v>
      </c>
      <c r="C8" s="4" t="n">
        <v>0</v>
      </c>
      <c r="D8" s="4" t="n">
        <v>0.4</v>
      </c>
      <c r="E8" s="4" t="n">
        <v>0</v>
      </c>
      <c r="F8" s="4" t="n">
        <v>0</v>
      </c>
      <c r="G8" s="4">
        <f>SUM(B8:F8)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Pillar</t>
        </is>
      </c>
      <c r="B1" s="1" t="inlineStr">
        <is>
          <t>Y1</t>
        </is>
      </c>
      <c r="C1" s="1" t="inlineStr">
        <is>
          <t>Y2</t>
        </is>
      </c>
      <c r="D1" s="1" t="inlineStr">
        <is>
          <t>Y3</t>
        </is>
      </c>
      <c r="E1" s="1" t="inlineStr">
        <is>
          <t>Y4</t>
        </is>
      </c>
      <c r="F1" s="1" t="inlineStr">
        <is>
          <t>Y5</t>
        </is>
      </c>
      <c r="G1" s="1" t="inlineStr">
        <is>
          <t>Total</t>
        </is>
      </c>
    </row>
    <row r="2">
      <c r="A2" t="inlineStr">
        <is>
          <t>Governance and delivery unit</t>
        </is>
      </c>
      <c r="B2" s="3">
        <f>SUMIFS('Line items'!D$2:D$18,'Line items'!$A$2:$A$18,$A2)</f>
        <v/>
      </c>
      <c r="C2" s="3">
        <f>SUMIFS('Line items'!E$2:E$18,'Line items'!$A$2:$A$18,$A2)</f>
        <v/>
      </c>
      <c r="D2" s="3">
        <f>SUMIFS('Line items'!F$2:F$18,'Line items'!$A$2:$A$18,$A2)</f>
        <v/>
      </c>
      <c r="E2" s="3">
        <f>SUMIFS('Line items'!G$2:G$18,'Line items'!$A$2:$A$18,$A2)</f>
        <v/>
      </c>
      <c r="F2" s="3">
        <f>SUMIFS('Line items'!H$2:H$18,'Line items'!$A$2:$A$18,$A2)</f>
        <v/>
      </c>
      <c r="G2" s="3">
        <f>SUM(B2:F2)</f>
        <v/>
      </c>
    </row>
    <row r="3">
      <c r="A3" t="inlineStr">
        <is>
          <t>Compute</t>
        </is>
      </c>
      <c r="B3" s="3">
        <f>SUMIFS('Line items'!D$2:D$18,'Line items'!$A$2:$A$18,$A3)</f>
        <v/>
      </c>
      <c r="C3" s="3">
        <f>SUMIFS('Line items'!E$2:E$18,'Line items'!$A$2:$A$18,$A3)</f>
        <v/>
      </c>
      <c r="D3" s="3">
        <f>SUMIFS('Line items'!F$2:F$18,'Line items'!$A$2:$A$18,$A3)</f>
        <v/>
      </c>
      <c r="E3" s="3">
        <f>SUMIFS('Line items'!G$2:G$18,'Line items'!$A$2:$A$18,$A3)</f>
        <v/>
      </c>
      <c r="F3" s="3">
        <f>SUMIFS('Line items'!H$2:H$18,'Line items'!$A$2:$A$18,$A3)</f>
        <v/>
      </c>
      <c r="G3" s="3">
        <f>SUM(B3:F3)</f>
        <v/>
      </c>
    </row>
    <row r="4">
      <c r="A4" t="inlineStr">
        <is>
          <t>Data</t>
        </is>
      </c>
      <c r="B4" s="3">
        <f>SUMIFS('Line items'!D$2:D$18,'Line items'!$A$2:$A$18,$A4)</f>
        <v/>
      </c>
      <c r="C4" s="3">
        <f>SUMIFS('Line items'!E$2:E$18,'Line items'!$A$2:$A$18,$A4)</f>
        <v/>
      </c>
      <c r="D4" s="3">
        <f>SUMIFS('Line items'!F$2:F$18,'Line items'!$A$2:$A$18,$A4)</f>
        <v/>
      </c>
      <c r="E4" s="3">
        <f>SUMIFS('Line items'!G$2:G$18,'Line items'!$A$2:$A$18,$A4)</f>
        <v/>
      </c>
      <c r="F4" s="3">
        <f>SUMIFS('Line items'!H$2:H$18,'Line items'!$A$2:$A$18,$A4)</f>
        <v/>
      </c>
      <c r="G4" s="3">
        <f>SUM(B4:F4)</f>
        <v/>
      </c>
    </row>
    <row r="5">
      <c r="A5" t="inlineStr">
        <is>
          <t>Talent</t>
        </is>
      </c>
      <c r="B5" s="3">
        <f>SUMIFS('Line items'!D$2:D$18,'Line items'!$A$2:$A$18,$A5)</f>
        <v/>
      </c>
      <c r="C5" s="3">
        <f>SUMIFS('Line items'!E$2:E$18,'Line items'!$A$2:$A$18,$A5)</f>
        <v/>
      </c>
      <c r="D5" s="3">
        <f>SUMIFS('Line items'!F$2:F$18,'Line items'!$A$2:$A$18,$A5)</f>
        <v/>
      </c>
      <c r="E5" s="3">
        <f>SUMIFS('Line items'!G$2:G$18,'Line items'!$A$2:$A$18,$A5)</f>
        <v/>
      </c>
      <c r="F5" s="3">
        <f>SUMIFS('Line items'!H$2:H$18,'Line items'!$A$2:$A$18,$A5)</f>
        <v/>
      </c>
      <c r="G5" s="3">
        <f>SUM(B5:F5)</f>
        <v/>
      </c>
    </row>
    <row r="6">
      <c r="A6" t="inlineStr">
        <is>
          <t>Regulation</t>
        </is>
      </c>
      <c r="B6" s="3">
        <f>SUMIFS('Line items'!D$2:D$18,'Line items'!$A$2:$A$18,$A6)</f>
        <v/>
      </c>
      <c r="C6" s="3">
        <f>SUMIFS('Line items'!E$2:E$18,'Line items'!$A$2:$A$18,$A6)</f>
        <v/>
      </c>
      <c r="D6" s="3">
        <f>SUMIFS('Line items'!F$2:F$18,'Line items'!$A$2:$A$18,$A6)</f>
        <v/>
      </c>
      <c r="E6" s="3">
        <f>SUMIFS('Line items'!G$2:G$18,'Line items'!$A$2:$A$18,$A6)</f>
        <v/>
      </c>
      <c r="F6" s="3">
        <f>SUMIFS('Line items'!H$2:H$18,'Line items'!$A$2:$A$18,$A6)</f>
        <v/>
      </c>
      <c r="G6" s="3">
        <f>SUM(B6:F6)</f>
        <v/>
      </c>
    </row>
    <row r="7">
      <c r="A7" t="inlineStr">
        <is>
          <t>Adoption and procurement</t>
        </is>
      </c>
      <c r="B7" s="3">
        <f>SUMIFS('Line items'!D$2:D$18,'Line items'!$A$2:$A$18,$A7)</f>
        <v/>
      </c>
      <c r="C7" s="3">
        <f>SUMIFS('Line items'!E$2:E$18,'Line items'!$A$2:$A$18,$A7)</f>
        <v/>
      </c>
      <c r="D7" s="3">
        <f>SUMIFS('Line items'!F$2:F$18,'Line items'!$A$2:$A$18,$A7)</f>
        <v/>
      </c>
      <c r="E7" s="3">
        <f>SUMIFS('Line items'!G$2:G$18,'Line items'!$A$2:$A$18,$A7)</f>
        <v/>
      </c>
      <c r="F7" s="3">
        <f>SUMIFS('Line items'!H$2:H$18,'Line items'!$A$2:$A$18,$A7)</f>
        <v/>
      </c>
      <c r="G7" s="3">
        <f>SUM(B7:F7)</f>
        <v/>
      </c>
    </row>
    <row r="8">
      <c r="A8" t="inlineStr">
        <is>
          <t>Monitoring and evaluation</t>
        </is>
      </c>
      <c r="B8" s="3">
        <f>SUMIFS('Line items'!D$2:D$18,'Line items'!$A$2:$A$18,$A8)</f>
        <v/>
      </c>
      <c r="C8" s="3">
        <f>SUMIFS('Line items'!E$2:E$18,'Line items'!$A$2:$A$18,$A8)</f>
        <v/>
      </c>
      <c r="D8" s="3">
        <f>SUMIFS('Line items'!F$2:F$18,'Line items'!$A$2:$A$18,$A8)</f>
        <v/>
      </c>
      <c r="E8" s="3">
        <f>SUMIFS('Line items'!G$2:G$18,'Line items'!$A$2:$A$18,$A8)</f>
        <v/>
      </c>
      <c r="F8" s="3">
        <f>SUMIFS('Line items'!H$2:H$18,'Line items'!$A$2:$A$18,$A8)</f>
        <v/>
      </c>
      <c r="G8" s="3">
        <f>SUM(B8:F8)</f>
        <v/>
      </c>
    </row>
    <row r="9">
      <c r="A9" s="1" t="inlineStr">
        <is>
          <t>Total</t>
        </is>
      </c>
      <c r="B9" s="5">
        <f>SUM(B2:B8)</f>
        <v/>
      </c>
      <c r="C9" s="5">
        <f>SUM(C2:C8)</f>
        <v/>
      </c>
      <c r="D9" s="5">
        <f>SUM(D2:D8)</f>
        <v/>
      </c>
      <c r="E9" s="5">
        <f>SUM(E2:E8)</f>
        <v/>
      </c>
      <c r="F9" s="5">
        <f>SUM(F2:F8)</f>
        <v/>
      </c>
      <c r="G9" s="5">
        <f>SUM(G2:G8)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Source</t>
        </is>
      </c>
      <c r="B1" s="1" t="inlineStr">
        <is>
          <t>Y1</t>
        </is>
      </c>
      <c r="C1" s="1" t="inlineStr">
        <is>
          <t>Y2</t>
        </is>
      </c>
      <c r="D1" s="1" t="inlineStr">
        <is>
          <t>Y3</t>
        </is>
      </c>
      <c r="E1" s="1" t="inlineStr">
        <is>
          <t>Y4</t>
        </is>
      </c>
      <c r="F1" s="1" t="inlineStr">
        <is>
          <t>Y5</t>
        </is>
      </c>
      <c r="G1" s="1" t="inlineStr">
        <is>
          <t>Total</t>
        </is>
      </c>
    </row>
    <row r="2">
      <c r="A2" t="inlineStr">
        <is>
          <t>National budget</t>
        </is>
      </c>
      <c r="B2" s="3">
        <f>SUMPRODUCT('By pillar'!B$2:B$8,'Financing shares'!B$2:B$8)</f>
        <v/>
      </c>
      <c r="C2" s="3">
        <f>SUMPRODUCT('By pillar'!C$2:C$8,'Financing shares'!B$2:B$8)</f>
        <v/>
      </c>
      <c r="D2" s="3">
        <f>SUMPRODUCT('By pillar'!D$2:D$8,'Financing shares'!B$2:B$8)</f>
        <v/>
      </c>
      <c r="E2" s="3">
        <f>SUMPRODUCT('By pillar'!E$2:E$8,'Financing shares'!B$2:B$8)</f>
        <v/>
      </c>
      <c r="F2" s="3">
        <f>SUMPRODUCT('By pillar'!F$2:F$8,'Financing shares'!B$2:B$8)</f>
        <v/>
      </c>
      <c r="G2" s="3">
        <f>SUM(B2:F2)</f>
        <v/>
      </c>
    </row>
    <row r="3">
      <c r="A3" t="inlineStr">
        <is>
          <t>DFI loans</t>
        </is>
      </c>
      <c r="B3" s="3">
        <f>SUMPRODUCT('By pillar'!B$2:B$8,'Financing shares'!C$2:C$8)</f>
        <v/>
      </c>
      <c r="C3" s="3">
        <f>SUMPRODUCT('By pillar'!C$2:C$8,'Financing shares'!C$2:C$8)</f>
        <v/>
      </c>
      <c r="D3" s="3">
        <f>SUMPRODUCT('By pillar'!D$2:D$8,'Financing shares'!C$2:C$8)</f>
        <v/>
      </c>
      <c r="E3" s="3">
        <f>SUMPRODUCT('By pillar'!E$2:E$8,'Financing shares'!C$2:C$8)</f>
        <v/>
      </c>
      <c r="F3" s="3">
        <f>SUMPRODUCT('By pillar'!F$2:F$8,'Financing shares'!C$2:C$8)</f>
        <v/>
      </c>
      <c r="G3" s="3">
        <f>SUM(B3:F3)</f>
        <v/>
      </c>
    </row>
    <row r="4">
      <c r="A4" t="inlineStr">
        <is>
          <t>Grants</t>
        </is>
      </c>
      <c r="B4" s="3">
        <f>SUMPRODUCT('By pillar'!B$2:B$8,'Financing shares'!D$2:D$8)</f>
        <v/>
      </c>
      <c r="C4" s="3">
        <f>SUMPRODUCT('By pillar'!C$2:C$8,'Financing shares'!D$2:D$8)</f>
        <v/>
      </c>
      <c r="D4" s="3">
        <f>SUMPRODUCT('By pillar'!D$2:D$8,'Financing shares'!D$2:D$8)</f>
        <v/>
      </c>
      <c r="E4" s="3">
        <f>SUMPRODUCT('By pillar'!E$2:E$8,'Financing shares'!D$2:D$8)</f>
        <v/>
      </c>
      <c r="F4" s="3">
        <f>SUMPRODUCT('By pillar'!F$2:F$8,'Financing shares'!D$2:D$8)</f>
        <v/>
      </c>
      <c r="G4" s="3">
        <f>SUM(B4:F4)</f>
        <v/>
      </c>
    </row>
    <row r="5">
      <c r="A5" t="inlineStr">
        <is>
          <t>PPP and private</t>
        </is>
      </c>
      <c r="B5" s="3">
        <f>SUMPRODUCT('By pillar'!B$2:B$8,'Financing shares'!E$2:E$8)</f>
        <v/>
      </c>
      <c r="C5" s="3">
        <f>SUMPRODUCT('By pillar'!C$2:C$8,'Financing shares'!E$2:E$8)</f>
        <v/>
      </c>
      <c r="D5" s="3">
        <f>SUMPRODUCT('By pillar'!D$2:D$8,'Financing shares'!E$2:E$8)</f>
        <v/>
      </c>
      <c r="E5" s="3">
        <f>SUMPRODUCT('By pillar'!E$2:E$8,'Financing shares'!E$2:E$8)</f>
        <v/>
      </c>
      <c r="F5" s="3">
        <f>SUMPRODUCT('By pillar'!F$2:F$8,'Financing shares'!E$2:E$8)</f>
        <v/>
      </c>
      <c r="G5" s="3">
        <f>SUM(B5:F5)</f>
        <v/>
      </c>
    </row>
    <row r="6">
      <c r="A6" t="inlineStr">
        <is>
          <t>Vendor credits</t>
        </is>
      </c>
      <c r="B6" s="3">
        <f>SUMPRODUCT('By pillar'!B$2:B$8,'Financing shares'!F$2:F$8)</f>
        <v/>
      </c>
      <c r="C6" s="3">
        <f>SUMPRODUCT('By pillar'!C$2:C$8,'Financing shares'!F$2:F$8)</f>
        <v/>
      </c>
      <c r="D6" s="3">
        <f>SUMPRODUCT('By pillar'!D$2:D$8,'Financing shares'!F$2:F$8)</f>
        <v/>
      </c>
      <c r="E6" s="3">
        <f>SUMPRODUCT('By pillar'!E$2:E$8,'Financing shares'!F$2:F$8)</f>
        <v/>
      </c>
      <c r="F6" s="3">
        <f>SUMPRODUCT('By pillar'!F$2:F$8,'Financing shares'!F$2:F$8)</f>
        <v/>
      </c>
      <c r="G6" s="3">
        <f>SUM(B6:F6)</f>
        <v/>
      </c>
    </row>
    <row r="7">
      <c r="A7" s="1" t="inlineStr">
        <is>
          <t>Total</t>
        </is>
      </c>
      <c r="B7" s="5">
        <f>SUM(B2:B6)</f>
        <v/>
      </c>
      <c r="C7" s="5">
        <f>SUM(C2:C6)</f>
        <v/>
      </c>
      <c r="D7" s="5">
        <f>SUM(D2:D6)</f>
        <v/>
      </c>
      <c r="E7" s="5">
        <f>SUM(E2:E6)</f>
        <v/>
      </c>
      <c r="F7" s="5">
        <f>SUM(F2:F6)</f>
        <v/>
      </c>
      <c r="G7" s="5">
        <f>SUM(G2:G6)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</cols>
  <sheetData>
    <row r="1">
      <c r="A1" s="1" t="inlineStr">
        <is>
          <t>Five-year total by pillar</t>
        </is>
      </c>
      <c r="B1" s="1" t="inlineStr">
        <is>
          <t>USD</t>
        </is>
      </c>
      <c r="C1" s="1" t="inlineStr">
        <is>
          <t>Share</t>
        </is>
      </c>
    </row>
    <row r="2">
      <c r="A2" t="inlineStr">
        <is>
          <t>Governance and delivery unit</t>
        </is>
      </c>
      <c r="B2" s="3">
        <f>'By pillar'!G2</f>
        <v/>
      </c>
      <c r="C2" s="4">
        <f>B2/'By pillar'!G9</f>
        <v/>
      </c>
    </row>
    <row r="3">
      <c r="A3" t="inlineStr">
        <is>
          <t>Compute</t>
        </is>
      </c>
      <c r="B3" s="3">
        <f>'By pillar'!G3</f>
        <v/>
      </c>
      <c r="C3" s="4">
        <f>B3/'By pillar'!G9</f>
        <v/>
      </c>
    </row>
    <row r="4">
      <c r="A4" t="inlineStr">
        <is>
          <t>Data</t>
        </is>
      </c>
      <c r="B4" s="3">
        <f>'By pillar'!G4</f>
        <v/>
      </c>
      <c r="C4" s="4">
        <f>B4/'By pillar'!G9</f>
        <v/>
      </c>
    </row>
    <row r="5">
      <c r="A5" t="inlineStr">
        <is>
          <t>Talent</t>
        </is>
      </c>
      <c r="B5" s="3">
        <f>'By pillar'!G5</f>
        <v/>
      </c>
      <c r="C5" s="4">
        <f>B5/'By pillar'!G9</f>
        <v/>
      </c>
    </row>
    <row r="6">
      <c r="A6" t="inlineStr">
        <is>
          <t>Regulation</t>
        </is>
      </c>
      <c r="B6" s="3">
        <f>'By pillar'!G6</f>
        <v/>
      </c>
      <c r="C6" s="4">
        <f>B6/'By pillar'!G9</f>
        <v/>
      </c>
    </row>
    <row r="7">
      <c r="A7" t="inlineStr">
        <is>
          <t>Adoption and procurement</t>
        </is>
      </c>
      <c r="B7" s="3">
        <f>'By pillar'!G7</f>
        <v/>
      </c>
      <c r="C7" s="4">
        <f>B7/'By pillar'!G9</f>
        <v/>
      </c>
    </row>
    <row r="8">
      <c r="A8" t="inlineStr">
        <is>
          <t>Monitoring and evaluation</t>
        </is>
      </c>
      <c r="B8" s="3">
        <f>'By pillar'!G8</f>
        <v/>
      </c>
      <c r="C8" s="4">
        <f>B8/'By pillar'!G9</f>
        <v/>
      </c>
    </row>
    <row r="9">
      <c r="A9" t="inlineStr">
        <is>
          <t>Total</t>
        </is>
      </c>
      <c r="B9" s="3">
        <f>'By pillar'!G9</f>
        <v/>
      </c>
      <c r="C9" s="4">
        <f>SUM(C2:C8)</f>
        <v/>
      </c>
    </row>
    <row r="10">
      <c r="B10" s="3" t="n"/>
      <c r="C10" s="4" t="n"/>
    </row>
    <row r="11">
      <c r="A11" s="1" t="inlineStr">
        <is>
          <t>Five-year total by source</t>
        </is>
      </c>
      <c r="B11" s="3" t="n"/>
      <c r="C11" s="4" t="n"/>
    </row>
    <row r="12">
      <c r="A12" t="inlineStr">
        <is>
          <t>National budget</t>
        </is>
      </c>
      <c r="B12" s="3">
        <f>'By source'!G2</f>
        <v/>
      </c>
      <c r="C12" s="4">
        <f>B12/'By source'!G7</f>
        <v/>
      </c>
    </row>
    <row r="13">
      <c r="A13" t="inlineStr">
        <is>
          <t>DFI loans</t>
        </is>
      </c>
      <c r="B13" s="3">
        <f>'By source'!G3</f>
        <v/>
      </c>
      <c r="C13" s="4">
        <f>B13/'By source'!G7</f>
        <v/>
      </c>
    </row>
    <row r="14">
      <c r="A14" t="inlineStr">
        <is>
          <t>Grants</t>
        </is>
      </c>
      <c r="B14" s="3">
        <f>'By source'!G4</f>
        <v/>
      </c>
      <c r="C14" s="4">
        <f>B14/'By source'!G7</f>
        <v/>
      </c>
    </row>
    <row r="15">
      <c r="A15" t="inlineStr">
        <is>
          <t>PPP and private</t>
        </is>
      </c>
      <c r="B15" s="3">
        <f>'By source'!G5</f>
        <v/>
      </c>
      <c r="C15" s="4">
        <f>B15/'By source'!G7</f>
        <v/>
      </c>
    </row>
    <row r="16">
      <c r="A16" t="inlineStr">
        <is>
          <t>Vendor credits</t>
        </is>
      </c>
      <c r="B16" s="3">
        <f>'By source'!G6</f>
        <v/>
      </c>
      <c r="C16" s="4">
        <f>B16/'By source'!G7</f>
        <v/>
      </c>
    </row>
    <row r="17">
      <c r="B17" s="3" t="n"/>
      <c r="C17" s="4" t="n"/>
    </row>
    <row r="18">
      <c r="A18" t="inlineStr">
        <is>
          <t>Check: pillars minus sources (must be 0)</t>
        </is>
      </c>
      <c r="B18" s="3">
        <f>ROUND('By pillar'!G9-'By source'!G7,0)</f>
        <v/>
      </c>
      <c r="C18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2026-10-21T02:23:26Z</dcterms:created>
  <dcterms:modified xmlns:dcterms="http://purl.org/dc/terms/" xmlns:xsi="http://www.w3.org/2001/XMLSchema-instance" xsi:type="dcterms:W3CDTF">2026-10-21T02:23:26Z</dcterms:modified>
</cp:coreProperties>
</file>